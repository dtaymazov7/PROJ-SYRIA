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eal" sheetId="2" state="visible" r:id="rId2"/>
    <sheet name="Cashflows" sheetId="3" state="visible" r:id="rId3"/>
    <sheet name="Compare" sheetId="4" state="visible" r:id="rId4"/>
    <sheet name="Pilot po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$#,##0.00;($#,##0.00);-"/>
    <numFmt numFmtId="166" formatCode="$#,##0;($#,##0);-"/>
    <numFmt numFmtId="167" formatCode="0.0%;(0.0%);-"/>
    <numFmt numFmtId="168" formatCode="0.0"/>
    <numFmt numFmtId="169" formatCode="0.00x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i val="1"/>
      <color rgb="00595959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4" borderId="0" pivotButton="0" quotePrefix="0" xfId="0"/>
    <xf numFmtId="0" fontId="9" fillId="4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165" fontId="4" fillId="2" borderId="0" pivotButton="0" quotePrefix="0" xfId="0"/>
    <xf numFmtId="165" fontId="4" fillId="0" borderId="0" pivotButton="0" quotePrefix="0" xfId="0"/>
    <xf numFmtId="166" fontId="6" fillId="0" borderId="0" pivotButton="0" quotePrefix="0" xfId="0"/>
    <xf numFmtId="166" fontId="4" fillId="2" borderId="0" pivotButton="0" quotePrefix="0" xfId="0"/>
    <xf numFmtId="166" fontId="4" fillId="0" borderId="0" pivotButton="0" quotePrefix="0" xfId="0"/>
    <xf numFmtId="167" fontId="6" fillId="0" borderId="0" pivotButton="0" quotePrefix="0" xfId="0"/>
    <xf numFmtId="167" fontId="4" fillId="0" borderId="0" pivotButton="0" quotePrefix="0" xfId="0"/>
    <xf numFmtId="167" fontId="4" fillId="2" borderId="0" pivotButton="0" quotePrefix="0" xfId="0"/>
    <xf numFmtId="2" fontId="6" fillId="0" borderId="0" pivotButton="0" quotePrefix="0" xfId="0"/>
    <xf numFmtId="2" fontId="4" fillId="2" borderId="0" pivotButton="0" quotePrefix="0" xfId="0"/>
    <xf numFmtId="0" fontId="8" fillId="0" borderId="0" pivotButton="0" quotePrefix="0" xfId="0"/>
    <xf numFmtId="166" fontId="8" fillId="0" borderId="0" pivotButton="0" quotePrefix="0" xfId="0"/>
    <xf numFmtId="166" fontId="3" fillId="0" borderId="1" pivotButton="0" quotePrefix="0" xfId="0"/>
    <xf numFmtId="164" fontId="8" fillId="0" borderId="0" pivotButton="0" quotePrefix="0" xfId="0"/>
    <xf numFmtId="165" fontId="8" fillId="0" borderId="0" pivotButton="0" quotePrefix="0" xfId="0"/>
    <xf numFmtId="168" fontId="6" fillId="0" borderId="0" pivotButton="0" quotePrefix="0" xfId="0"/>
    <xf numFmtId="10" fontId="6" fillId="0" borderId="0" pivotButton="0" quotePrefix="0" xfId="0"/>
    <xf numFmtId="167" fontId="3" fillId="0" borderId="1" pivotButton="0" quotePrefix="0" xfId="0"/>
    <xf numFmtId="169" fontId="6" fillId="0" borderId="0" pivotButton="0" quotePrefix="0" xfId="0"/>
    <xf numFmtId="1" fontId="6" fillId="0" borderId="0" pivotButton="0" quotePrefix="0" xfId="0"/>
    <xf numFmtId="0" fontId="5" fillId="3" borderId="0" applyAlignment="1" pivotButton="0" quotePrefix="0" xfId="0">
      <alignment wrapText="1"/>
    </xf>
    <xf numFmtId="168" fontId="8" fillId="0" borderId="0" pivotButton="0" quotePrefix="0" xfId="0"/>
    <xf numFmtId="168" fontId="4" fillId="0" borderId="0" pivotButton="0" quotePrefix="0" xfId="0"/>
    <xf numFmtId="167" fontId="8" fillId="0" borderId="0" pivotButton="0" quotePrefix="0" xfId="0"/>
    <xf numFmtId="0" fontId="4" fillId="0" borderId="0" pivotButton="0" quotePrefix="0" xfId="0"/>
    <xf numFmtId="166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70" customWidth="1" min="7" max="7"/>
  </cols>
  <sheetData>
    <row r="1">
      <c r="A1" s="1" t="inlineStr">
        <is>
          <t>Lease-to-own solar for Aleppo factories: assumptions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Blue = input you can change. Yellow = key assumption to verify in interviews. Column C is live and follows the scenario chosen in C4.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Scenario (1 = Base, 2 = Bad, 3 = Good)</t>
        </is>
      </c>
      <c r="B4" s="2" t="n"/>
      <c r="C4" s="5" t="n">
        <v>1</v>
      </c>
      <c r="D4" s="4">
        <f>CHOOSE($C$4,"Base","Bad","Good")</f>
        <v/>
      </c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6" t="inlineStr">
        <is>
          <t>Assumption</t>
        </is>
      </c>
      <c r="B6" s="6" t="inlineStr">
        <is>
          <t>Unit</t>
        </is>
      </c>
      <c r="C6" s="6" t="inlineStr">
        <is>
          <t>Live</t>
        </is>
      </c>
      <c r="D6" s="6" t="inlineStr">
        <is>
          <t>Base</t>
        </is>
      </c>
      <c r="E6" s="6" t="inlineStr">
        <is>
          <t>Bad</t>
        </is>
      </c>
      <c r="F6" s="6" t="inlineStr">
        <is>
          <t>Good</t>
        </is>
      </c>
      <c r="G6" s="6" t="inlineStr">
        <is>
          <t>Source / note</t>
        </is>
      </c>
    </row>
    <row r="7">
      <c r="A7" s="7" t="inlineStr">
        <is>
          <t>System</t>
        </is>
      </c>
      <c r="B7" s="8" t="n"/>
      <c r="C7" s="8" t="n"/>
      <c r="D7" s="8" t="n"/>
      <c r="E7" s="8" t="n"/>
      <c r="F7" s="8" t="n"/>
      <c r="G7" s="8" t="n"/>
    </row>
    <row r="8">
      <c r="A8" s="9" t="inlineStr">
        <is>
          <t>PV array size</t>
        </is>
      </c>
      <c r="B8" s="9" t="inlineStr">
        <is>
          <t>kWp</t>
        </is>
      </c>
      <c r="C8" s="10">
        <f>CHOOSE($C$4,D8,E8,F8)</f>
        <v/>
      </c>
      <c r="D8" s="11" t="n">
        <v>100</v>
      </c>
      <c r="E8" s="11" t="n">
        <v>100</v>
      </c>
      <c r="F8" s="11" t="n">
        <v>100</v>
      </c>
      <c r="G8" s="12" t="inlineStr">
        <is>
          <t>Sized for a mid-size workshop; scale linearly</t>
        </is>
      </c>
    </row>
    <row r="9">
      <c r="A9" s="9" t="inlineStr">
        <is>
          <t>Battery size</t>
        </is>
      </c>
      <c r="B9" s="9" t="inlineStr">
        <is>
          <t>kWh</t>
        </is>
      </c>
      <c r="C9" s="10">
        <f>CHOOSE($C$4,D9,E9,F9)</f>
        <v/>
      </c>
      <c r="D9" s="11" t="n">
        <v>100</v>
      </c>
      <c r="E9" s="11" t="n">
        <v>100</v>
      </c>
      <c r="F9" s="11" t="n">
        <v>100</v>
      </c>
      <c r="G9" s="12" t="inlineStr">
        <is>
          <t>Covers evening shift tail and cloud cover</t>
        </is>
      </c>
    </row>
    <row r="10">
      <c r="A10" s="9" t="inlineStr">
        <is>
          <t>PV equipment cost (modules, mounting, inverters, cabling)</t>
        </is>
      </c>
      <c r="B10" s="9" t="inlineStr">
        <is>
          <t>$/W</t>
        </is>
      </c>
      <c r="C10" s="13">
        <f>CHOOSE($C$4,D10,E10,F10)</f>
        <v/>
      </c>
      <c r="D10" s="14" t="n">
        <v>0.34</v>
      </c>
      <c r="E10" s="14" t="n">
        <v>0.408</v>
      </c>
      <c r="F10" s="14" t="n">
        <v>0.3</v>
      </c>
      <c r="G10" s="12" t="inlineStr">
        <is>
          <t>Validation Pack estimate; replace with delivered-to-Aleppo quote</t>
        </is>
      </c>
    </row>
    <row r="11">
      <c r="A11" s="9" t="inlineStr">
        <is>
          <t>Installation labour</t>
        </is>
      </c>
      <c r="B11" s="9" t="inlineStr">
        <is>
          <t>$/W</t>
        </is>
      </c>
      <c r="C11" s="13">
        <f>CHOOSE($C$4,D11,E11,F11)</f>
        <v/>
      </c>
      <c r="D11" s="15" t="n">
        <v>0.05</v>
      </c>
      <c r="E11" s="15" t="n">
        <v>0.06</v>
      </c>
      <c r="F11" s="15" t="n">
        <v>0.04</v>
      </c>
      <c r="G11" s="12" t="inlineStr">
        <is>
          <t>Validation Pack estimate</t>
        </is>
      </c>
    </row>
    <row r="12">
      <c r="A12" s="9" t="inlineStr">
        <is>
          <t>LFP battery incl. power conversion</t>
        </is>
      </c>
      <c r="B12" s="9" t="inlineStr">
        <is>
          <t>$/kWh</t>
        </is>
      </c>
      <c r="C12" s="16">
        <f>CHOOSE($C$4,D12,E12,F12)</f>
        <v/>
      </c>
      <c r="D12" s="17" t="n">
        <v>180</v>
      </c>
      <c r="E12" s="17" t="n">
        <v>216</v>
      </c>
      <c r="F12" s="17" t="n">
        <v>160</v>
      </c>
      <c r="G12" s="12" t="inlineStr">
        <is>
          <t>C&amp;I range $180-300 (Validation Pack)</t>
        </is>
      </c>
    </row>
    <row r="13">
      <c r="A13" s="9" t="inlineStr">
        <is>
          <t>Controls, metering, remote lockout</t>
        </is>
      </c>
      <c r="B13" s="9" t="inlineStr">
        <is>
          <t>$/deal</t>
        </is>
      </c>
      <c r="C13" s="16">
        <f>CHOOSE($C$4,D13,E13,F13)</f>
        <v/>
      </c>
      <c r="D13" s="18" t="n">
        <v>6000</v>
      </c>
      <c r="E13" s="18" t="n">
        <v>7000</v>
      </c>
      <c r="F13" s="18" t="n">
        <v>5000</v>
      </c>
      <c r="G13" s="12" t="inlineStr">
        <is>
          <t>Remote shut-off is the collections lever</t>
        </is>
      </c>
    </row>
    <row r="14">
      <c r="A14" s="9" t="inlineStr">
        <is>
          <t>Freight, import, inland transport</t>
        </is>
      </c>
      <c r="B14" s="9" t="inlineStr">
        <is>
          <t>% of equipment</t>
        </is>
      </c>
      <c r="C14" s="19">
        <f>CHOOSE($C$4,D14,E14,F14)</f>
        <v/>
      </c>
      <c r="D14" s="20" t="n">
        <v>0.1</v>
      </c>
      <c r="E14" s="20" t="n">
        <v>0.12</v>
      </c>
      <c r="F14" s="20" t="n">
        <v>0.08</v>
      </c>
      <c r="G14" s="12" t="inlineStr">
        <is>
          <t>Validation Pack: ~10% via Mersin or Beirut</t>
        </is>
      </c>
    </row>
    <row r="15">
      <c r="A15" s="9" t="inlineStr">
        <is>
          <t>Security, anti-theft, insurance setup</t>
        </is>
      </c>
      <c r="B15" s="9" t="inlineStr">
        <is>
          <t>$/deal</t>
        </is>
      </c>
      <c r="C15" s="16">
        <f>CHOOSE($C$4,D15,E15,F15)</f>
        <v/>
      </c>
      <c r="D15" s="18" t="n">
        <v>4000</v>
      </c>
      <c r="E15" s="18" t="n">
        <v>5000</v>
      </c>
      <c r="F15" s="18" t="n">
        <v>3000</v>
      </c>
      <c r="G15" s="12" t="inlineStr">
        <is>
          <t>Allowance</t>
        </is>
      </c>
    </row>
    <row r="16">
      <c r="A16" s="9" t="inlineStr">
        <is>
          <t>Engineering, legal, credit check</t>
        </is>
      </c>
      <c r="B16" s="9" t="inlineStr">
        <is>
          <t>$/deal</t>
        </is>
      </c>
      <c r="C16" s="16">
        <f>CHOOSE($C$4,D16,E16,F16)</f>
        <v/>
      </c>
      <c r="D16" s="18" t="n">
        <v>3000</v>
      </c>
      <c r="E16" s="18" t="n">
        <v>4000</v>
      </c>
      <c r="F16" s="18" t="n">
        <v>2500</v>
      </c>
      <c r="G16" s="12" t="inlineStr">
        <is>
          <t>Allowance per deal</t>
        </is>
      </c>
    </row>
    <row r="17">
      <c r="A17" s="9" t="inlineStr">
        <is>
          <t>Contingency</t>
        </is>
      </c>
      <c r="B17" s="9" t="inlineStr">
        <is>
          <t>% of subtotal</t>
        </is>
      </c>
      <c r="C17" s="19">
        <f>CHOOSE($C$4,D17,E17,F17)</f>
        <v/>
      </c>
      <c r="D17" s="20" t="n">
        <v>0.1</v>
      </c>
      <c r="E17" s="20" t="n">
        <v>0.1</v>
      </c>
      <c r="F17" s="20" t="n">
        <v>0.08</v>
      </c>
      <c r="G17" s="12" t="inlineStr"/>
    </row>
    <row r="18">
      <c r="A18" s="9" t="inlineStr">
        <is>
          <t>Sourcing margin on equipment</t>
        </is>
      </c>
      <c r="B18" s="9" t="inlineStr">
        <is>
          <t>% of cost</t>
        </is>
      </c>
      <c r="C18" s="19">
        <f>CHOOSE($C$4,D18,E18,F18)</f>
        <v/>
      </c>
      <c r="D18" s="20" t="n">
        <v>0.08</v>
      </c>
      <c r="E18" s="20" t="n">
        <v>0.05</v>
      </c>
      <c r="F18" s="20" t="n">
        <v>0.1</v>
      </c>
      <c r="G18" s="12" t="inlineStr">
        <is>
          <t>Markup charged to the factory on landed cost</t>
        </is>
      </c>
    </row>
    <row r="19">
      <c r="A19" s="7" t="inlineStr">
        <is>
          <t>Energy and diesel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Specific solar yield</t>
        </is>
      </c>
      <c r="B20" s="9" t="inlineStr">
        <is>
          <t>kWh/kWp/yr</t>
        </is>
      </c>
      <c r="C20" s="10">
        <f>CHOOSE($C$4,D20,E20,F20)</f>
        <v/>
      </c>
      <c r="D20" s="11" t="n">
        <v>1650</v>
      </c>
      <c r="E20" s="11" t="n">
        <v>1600</v>
      </c>
      <c r="F20" s="11" t="n">
        <v>1700</v>
      </c>
      <c r="G20" s="12" t="inlineStr">
        <is>
          <t>Unverified; check Global Solar Atlas for the site</t>
        </is>
      </c>
    </row>
    <row r="21">
      <c r="A21" s="9" t="inlineStr">
        <is>
          <t>Share of output that displaces diesel</t>
        </is>
      </c>
      <c r="B21" s="9" t="inlineStr">
        <is>
          <t>%</t>
        </is>
      </c>
      <c r="C21" s="19">
        <f>CHOOSE($C$4,D21,E21,F21)</f>
        <v/>
      </c>
      <c r="D21" s="21" t="n">
        <v>0.8</v>
      </c>
      <c r="E21" s="21" t="n">
        <v>0.65</v>
      </c>
      <c r="F21" s="21" t="n">
        <v>0.85</v>
      </c>
      <c r="G21" s="12" t="inlineStr">
        <is>
          <t>Unverified; needs the factory's load profile</t>
        </is>
      </c>
    </row>
    <row r="22">
      <c r="A22" s="9" t="inlineStr">
        <is>
          <t>PV degradation</t>
        </is>
      </c>
      <c r="B22" s="9" t="inlineStr">
        <is>
          <t>%/yr</t>
        </is>
      </c>
      <c r="C22" s="19">
        <f>CHOOSE($C$4,D22,E22,F22)</f>
        <v/>
      </c>
      <c r="D22" s="20" t="n">
        <v>0.005</v>
      </c>
      <c r="E22" s="20" t="n">
        <v>0.007</v>
      </c>
      <c r="F22" s="20" t="n">
        <v>0.004</v>
      </c>
      <c r="G22" s="12" t="inlineStr">
        <is>
          <t>Industry standard</t>
        </is>
      </c>
    </row>
    <row r="23">
      <c r="A23" s="9" t="inlineStr">
        <is>
          <t>Diesel price</t>
        </is>
      </c>
      <c r="B23" s="9" t="inlineStr">
        <is>
          <t>$/litre</t>
        </is>
      </c>
      <c r="C23" s="13">
        <f>CHOOSE($C$4,D23,E23,F23)</f>
        <v/>
      </c>
      <c r="D23" s="14" t="n">
        <v>1.3</v>
      </c>
      <c r="E23" s="14" t="n">
        <v>1.11</v>
      </c>
      <c r="F23" s="14" t="n">
        <v>1.4</v>
      </c>
      <c r="G23" s="12" t="inlineStr">
        <is>
          <t>Enab Baladi, Sept 2026: three grades, ~$1.11-1.30</t>
        </is>
      </c>
    </row>
    <row r="24">
      <c r="A24" s="9" t="inlineStr">
        <is>
          <t>Generator fuel burn</t>
        </is>
      </c>
      <c r="B24" s="9" t="inlineStr">
        <is>
          <t>litres/kWh</t>
        </is>
      </c>
      <c r="C24" s="22">
        <f>CHOOSE($C$4,D24,E24,F24)</f>
        <v/>
      </c>
      <c r="D24" s="23" t="n">
        <v>0.3</v>
      </c>
      <c r="E24" s="23" t="n">
        <v>0.28</v>
      </c>
      <c r="F24" s="23" t="n">
        <v>0.32</v>
      </c>
      <c r="G24" s="12" t="inlineStr">
        <is>
          <t>Typical at decent load; small units burn more</t>
        </is>
      </c>
    </row>
    <row r="25">
      <c r="A25" s="9" t="inlineStr">
        <is>
          <t>Generator O&amp;M avoided</t>
        </is>
      </c>
      <c r="B25" s="9" t="inlineStr">
        <is>
          <t>$/kWh</t>
        </is>
      </c>
      <c r="C25" s="13">
        <f>CHOOSE($C$4,D25,E25,F25)</f>
        <v/>
      </c>
      <c r="D25" s="15" t="n">
        <v>0.05</v>
      </c>
      <c r="E25" s="15" t="n">
        <v>0.03</v>
      </c>
      <c r="F25" s="15" t="n">
        <v>0.05</v>
      </c>
      <c r="G25" s="12" t="inlineStr">
        <is>
          <t>Validation Pack estimate</t>
        </is>
      </c>
    </row>
    <row r="26">
      <c r="A26" s="7" t="inlineStr">
        <is>
          <t>Lease terms</t>
        </is>
      </c>
      <c r="B26" s="8" t="n"/>
      <c r="C26" s="8" t="n"/>
      <c r="D26" s="8" t="n"/>
      <c r="E26" s="8" t="n"/>
      <c r="F26" s="8" t="n"/>
      <c r="G26" s="8" t="n"/>
    </row>
    <row r="27">
      <c r="A27" s="9" t="inlineStr">
        <is>
          <t>Customer deposit</t>
        </is>
      </c>
      <c r="B27" s="9" t="inlineStr">
        <is>
          <t>% of price</t>
        </is>
      </c>
      <c r="C27" s="19">
        <f>CHOOSE($C$4,D27,E27,F27)</f>
        <v/>
      </c>
      <c r="D27" s="20" t="n">
        <v>0.25</v>
      </c>
      <c r="E27" s="20" t="n">
        <v>0.25</v>
      </c>
      <c r="F27" s="20" t="n">
        <v>0.3</v>
      </c>
      <c r="G27" s="12" t="inlineStr">
        <is>
          <t>Filters weak buyers; Lebanon SoLR&amp; uses no deposit with donor backing</t>
        </is>
      </c>
    </row>
    <row r="28">
      <c r="A28" s="9" t="inlineStr">
        <is>
          <t>Lease tenor</t>
        </is>
      </c>
      <c r="B28" s="9" t="inlineStr">
        <is>
          <t>months</t>
        </is>
      </c>
      <c r="C28" s="10">
        <f>CHOOSE($C$4,D28,E28,F28)</f>
        <v/>
      </c>
      <c r="D28" s="11" t="n">
        <v>36</v>
      </c>
      <c r="E28" s="11" t="n">
        <v>36</v>
      </c>
      <c r="F28" s="11" t="n">
        <v>36</v>
      </c>
      <c r="G28" s="12" t="inlineStr">
        <is>
          <t>Ownership transfers at end; SoLR&amp; uses 5-7 yrs, lenders expect 2-3 yr payback</t>
        </is>
      </c>
    </row>
    <row r="29">
      <c r="A29" s="9" t="inlineStr">
        <is>
          <t>Lease interest rate</t>
        </is>
      </c>
      <c r="B29" s="9" t="inlineStr">
        <is>
          <t>% per year</t>
        </is>
      </c>
      <c r="C29" s="19">
        <f>CHOOSE($C$4,D29,E29,F29)</f>
        <v/>
      </c>
      <c r="D29" s="21" t="n">
        <v>0.28</v>
      </c>
      <c r="E29" s="21" t="n">
        <v>0.28</v>
      </c>
      <c r="F29" s="21" t="n">
        <v>0.3</v>
      </c>
      <c r="G29" s="12" t="inlineStr">
        <is>
          <t>USD-indexed; set so the factory still saves from month 1</t>
        </is>
      </c>
    </row>
    <row r="30">
      <c r="A30" s="9" t="inlineStr">
        <is>
          <t>Collection rate on lease payments</t>
        </is>
      </c>
      <c r="B30" s="9" t="inlineStr">
        <is>
          <t>%</t>
        </is>
      </c>
      <c r="C30" s="19">
        <f>CHOOSE($C$4,D30,E30,F30)</f>
        <v/>
      </c>
      <c r="D30" s="21" t="n">
        <v>0.95</v>
      </c>
      <c r="E30" s="21" t="n">
        <v>0.85</v>
      </c>
      <c r="F30" s="21" t="n">
        <v>0.98</v>
      </c>
      <c r="G30" s="12" t="inlineStr">
        <is>
          <t>Unverified; ecoligo's 2026 default shows this is the killer</t>
        </is>
      </c>
    </row>
    <row r="31">
      <c r="A31" s="9" t="inlineStr">
        <is>
          <t>Recovery on uncollected balance (repossess and resell)</t>
        </is>
      </c>
      <c r="B31" s="9" t="inlineStr">
        <is>
          <t>% of shortfall</t>
        </is>
      </c>
      <c r="C31" s="19">
        <f>CHOOSE($C$4,D31,E31,F31)</f>
        <v/>
      </c>
      <c r="D31" s="20" t="n">
        <v>0.3</v>
      </c>
      <c r="E31" s="20" t="n">
        <v>0.1</v>
      </c>
      <c r="F31" s="20" t="n">
        <v>0.4</v>
      </c>
      <c r="G31" s="12" t="inlineStr">
        <is>
          <t>Remote lockout plus resale of panels and battery</t>
        </is>
      </c>
    </row>
    <row r="32">
      <c r="A32" s="9" t="inlineStr">
        <is>
          <t>Servicing and monitoring cost</t>
        </is>
      </c>
      <c r="B32" s="9" t="inlineStr">
        <is>
          <t>$/month</t>
        </is>
      </c>
      <c r="C32" s="16">
        <f>CHOOSE($C$4,D32,E32,F32)</f>
        <v/>
      </c>
      <c r="D32" s="18" t="n">
        <v>150</v>
      </c>
      <c r="E32" s="18" t="n">
        <v>200</v>
      </c>
      <c r="F32" s="18" t="n">
        <v>120</v>
      </c>
      <c r="G32" s="12" t="inlineStr">
        <is>
          <t>Local agent, telemetry, collections</t>
        </is>
      </c>
    </row>
    <row r="33">
      <c r="A33" s="9" t="inlineStr">
        <is>
          <t>O&amp;M visits during lease</t>
        </is>
      </c>
      <c r="B33" s="9" t="inlineStr">
        <is>
          <t>$/year</t>
        </is>
      </c>
      <c r="C33" s="16">
        <f>CHOOSE($C$4,D33,E33,F33)</f>
        <v/>
      </c>
      <c r="D33" s="18" t="n">
        <v>1500</v>
      </c>
      <c r="E33" s="18" t="n">
        <v>2000</v>
      </c>
      <c r="F33" s="18" t="n">
        <v>1200</v>
      </c>
      <c r="G33" s="12" t="inlineStr">
        <is>
          <t>Financier covers maintenance until transfer</t>
        </is>
      </c>
    </row>
    <row r="34">
      <c r="A34" s="7" t="inlineStr">
        <is>
          <t>Investor view</t>
        </is>
      </c>
      <c r="B34" s="8" t="n"/>
      <c r="C34" s="8" t="n"/>
      <c r="D34" s="8" t="n"/>
      <c r="E34" s="8" t="n"/>
      <c r="F34" s="8" t="n"/>
      <c r="G34" s="8" t="n"/>
    </row>
    <row r="35">
      <c r="A35" s="9" t="inlineStr">
        <is>
          <t>Discount rate (Syria risk-adjusted)</t>
        </is>
      </c>
      <c r="B35" s="9" t="inlineStr">
        <is>
          <t>% per year</t>
        </is>
      </c>
      <c r="C35" s="19">
        <f>CHOOSE($C$4,D35,E35,F35)</f>
        <v/>
      </c>
      <c r="D35" s="21" t="n">
        <v>0.25</v>
      </c>
      <c r="E35" s="21" t="n">
        <v>0.25</v>
      </c>
      <c r="F35" s="21" t="n">
        <v>0.25</v>
      </c>
      <c r="G35" s="12" t="inlineStr">
        <is>
          <t>Hurdle for unlevered capital in a post-conflict market</t>
        </is>
      </c>
    </row>
    <row r="36">
      <c r="A36" s="9" t="inlineStr">
        <is>
          <t>Pilot capital pool</t>
        </is>
      </c>
      <c r="B36" s="9" t="inlineStr">
        <is>
          <t>$</t>
        </is>
      </c>
      <c r="C36" s="16">
        <f>CHOOSE($C$4,D36,E36,F36)</f>
        <v/>
      </c>
      <c r="D36" s="18" t="n">
        <v>500000</v>
      </c>
      <c r="E36" s="18" t="n">
        <v>500000</v>
      </c>
      <c r="F36" s="18" t="n">
        <v>500000</v>
      </c>
      <c r="G36" s="12" t="inlineStr">
        <is>
          <t>Council: loss-tolerant pilot under $500k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One lease-to-own deal</t>
        </is>
      </c>
      <c r="B1" s="2" t="n"/>
    </row>
    <row r="2">
      <c r="A2" s="24">
        <f>"Scenario: "&amp;Assumptions!$D$4</f>
        <v/>
      </c>
      <c r="B2" s="2" t="n"/>
    </row>
    <row r="3">
      <c r="A3" s="2" t="n"/>
      <c r="B3" s="2" t="n"/>
    </row>
    <row r="4">
      <c r="A4" s="4" t="inlineStr">
        <is>
          <t>Capex build-up ($)</t>
        </is>
      </c>
      <c r="B4" s="2" t="n"/>
    </row>
    <row r="5">
      <c r="A5" s="9" t="inlineStr">
        <is>
          <t>PV equipment</t>
        </is>
      </c>
      <c r="B5" s="25">
        <f>Assumptions!$C$8*1000*Assumptions!$C$10</f>
        <v/>
      </c>
    </row>
    <row r="6">
      <c r="A6" s="9" t="inlineStr">
        <is>
          <t>Installation labour</t>
        </is>
      </c>
      <c r="B6" s="25">
        <f>Assumptions!$C$8*1000*Assumptions!$C$11</f>
        <v/>
      </c>
    </row>
    <row r="7">
      <c r="A7" s="9" t="inlineStr">
        <is>
          <t>Battery</t>
        </is>
      </c>
      <c r="B7" s="25">
        <f>Assumptions!$C$9*Assumptions!$C$12</f>
        <v/>
      </c>
    </row>
    <row r="8">
      <c r="A8" s="9" t="inlineStr">
        <is>
          <t>Controls and remote lockout</t>
        </is>
      </c>
      <c r="B8" s="25">
        <f>Assumptions!$C$13</f>
        <v/>
      </c>
    </row>
    <row r="9">
      <c r="A9" s="9" t="inlineStr">
        <is>
          <t>Freight and import</t>
        </is>
      </c>
      <c r="B9" s="25">
        <f>(B5+B7+B8)*Assumptions!$C$14</f>
        <v/>
      </c>
    </row>
    <row r="10">
      <c r="A10" s="9" t="inlineStr">
        <is>
          <t>Security and insurance</t>
        </is>
      </c>
      <c r="B10" s="25">
        <f>Assumptions!$C$15</f>
        <v/>
      </c>
    </row>
    <row r="11">
      <c r="A11" s="9" t="inlineStr">
        <is>
          <t>Engineering, legal, credit check</t>
        </is>
      </c>
      <c r="B11" s="25">
        <f>Assumptions!$C$16</f>
        <v/>
      </c>
    </row>
    <row r="12">
      <c r="A12" s="4" t="inlineStr">
        <is>
          <t>Subtotal</t>
        </is>
      </c>
      <c r="B12" s="26">
        <f>SUM(B5:B11)</f>
        <v/>
      </c>
    </row>
    <row r="13">
      <c r="A13" s="9" t="inlineStr">
        <is>
          <t>Contingency</t>
        </is>
      </c>
      <c r="B13" s="25">
        <f>B12*Assumptions!$C$17</f>
        <v/>
      </c>
    </row>
    <row r="14">
      <c r="A14" s="4" t="inlineStr">
        <is>
          <t>Total landed cost</t>
        </is>
      </c>
      <c r="B14" s="26">
        <f>B12+B13</f>
        <v/>
      </c>
    </row>
    <row r="15">
      <c r="A15" s="4" t="inlineStr">
        <is>
          <t>Price to factory (cost + sourcing margin)</t>
        </is>
      </c>
      <c r="B15" s="26">
        <f>B14*(1+Assumptions!$C$18)</f>
        <v/>
      </c>
    </row>
    <row r="16">
      <c r="A16" s="9" t="inlineStr">
        <is>
          <t>Cost per Wp</t>
        </is>
      </c>
      <c r="B16" s="13">
        <f>B14/(Assumptions!$C$8*1000)</f>
        <v/>
      </c>
    </row>
    <row r="17">
      <c r="A17" s="2" t="n"/>
      <c r="B17" s="2" t="n"/>
    </row>
    <row r="18">
      <c r="A18" s="4" t="inlineStr">
        <is>
          <t>Lease ($)</t>
        </is>
      </c>
      <c r="B18" s="2" t="n"/>
    </row>
    <row r="19">
      <c r="A19" s="9" t="inlineStr">
        <is>
          <t>Deposit paid at signing</t>
        </is>
      </c>
      <c r="B19" s="25">
        <f>B15*Assumptions!$C$27</f>
        <v/>
      </c>
    </row>
    <row r="20">
      <c r="A20" s="9" t="inlineStr">
        <is>
          <t>Amount financed</t>
        </is>
      </c>
      <c r="B20" s="16">
        <f>B15-B19</f>
        <v/>
      </c>
    </row>
    <row r="21">
      <c r="A21" s="4" t="inlineStr">
        <is>
          <t>Monthly lease payment</t>
        </is>
      </c>
      <c r="B21" s="26">
        <f>PMT(Assumptions!$C$29/12,Assumptions!$C$28,-B20)</f>
        <v/>
      </c>
    </row>
    <row r="22">
      <c r="A22" s="9" t="inlineStr">
        <is>
          <t>Total paid by factory over the lease</t>
        </is>
      </c>
      <c r="B22" s="16">
        <f>B19+B21*Assumptions!$C$28</f>
        <v/>
      </c>
    </row>
    <row r="23">
      <c r="A23" s="2" t="n"/>
      <c r="B23" s="2" t="n"/>
    </row>
    <row r="24">
      <c r="A24" s="4" t="inlineStr">
        <is>
          <t>Factory's side ($/year 1)</t>
        </is>
      </c>
      <c r="B24" s="2" t="n"/>
    </row>
    <row r="25">
      <c r="A25" s="9" t="inlineStr">
        <is>
          <t>Solar output used (kWh/yr)</t>
        </is>
      </c>
      <c r="B25" s="27">
        <f>Assumptions!$C$8*Assumptions!$C$20*Assumptions!$C$21</f>
        <v/>
      </c>
    </row>
    <row r="26">
      <c r="A26" s="9" t="inlineStr">
        <is>
          <t>Diesel cost avoided per kWh</t>
        </is>
      </c>
      <c r="B26" s="28">
        <f>Assumptions!$C$23*Assumptions!$C$24+Assumptions!$C$25</f>
        <v/>
      </c>
    </row>
    <row r="27">
      <c r="A27" s="4" t="inlineStr">
        <is>
          <t>Annual diesel spend avoided</t>
        </is>
      </c>
      <c r="B27" s="26">
        <f>B25*B26</f>
        <v/>
      </c>
    </row>
    <row r="28">
      <c r="A28" s="9" t="inlineStr">
        <is>
          <t>Annual lease payments</t>
        </is>
      </c>
      <c r="B28" s="16">
        <f>B21*12</f>
        <v/>
      </c>
    </row>
    <row r="29">
      <c r="A29" s="4" t="inlineStr">
        <is>
          <t>Net saving during lease (per year)</t>
        </is>
      </c>
      <c r="B29" s="26">
        <f>B27-B28</f>
        <v/>
      </c>
    </row>
    <row r="30">
      <c r="A30" s="9" t="inlineStr">
        <is>
          <t>Saving as % of avoided diesel</t>
        </is>
      </c>
      <c r="B30" s="19">
        <f>IFERROR(B29/B27,0)</f>
        <v/>
      </c>
    </row>
    <row r="31">
      <c r="A31" s="9" t="inlineStr">
        <is>
          <t>Simple payback on full price (years)</t>
        </is>
      </c>
      <c r="B31" s="29">
        <f>IFERROR(B15/B27,0)</f>
        <v/>
      </c>
    </row>
    <row r="32">
      <c r="A32" s="9" t="inlineStr">
        <is>
          <t>Months for net saving to repay deposit</t>
        </is>
      </c>
      <c r="B32" s="29">
        <f>IFERROR(B19/(B29/12),0)</f>
        <v/>
      </c>
    </row>
    <row r="33">
      <c r="A33" s="2" t="n"/>
      <c r="B33" s="2" t="n"/>
    </row>
    <row r="34">
      <c r="A34" s="4" t="inlineStr">
        <is>
          <t>Financier's return</t>
        </is>
      </c>
      <c r="B34" s="2" t="n"/>
    </row>
    <row r="35">
      <c r="A35" s="9" t="inlineStr">
        <is>
          <t>Monthly IRR</t>
        </is>
      </c>
      <c r="B35" s="30">
        <f>IRR(Cashflows!$I$6:$I$42)</f>
        <v/>
      </c>
    </row>
    <row r="36">
      <c r="A36" s="4" t="inlineStr">
        <is>
          <t>Annualised IRR</t>
        </is>
      </c>
      <c r="B36" s="31">
        <f>(1+B35)^12-1</f>
        <v/>
      </c>
    </row>
    <row r="37">
      <c r="A37" s="4" t="inlineStr">
        <is>
          <t>NPV at discount rate ($)</t>
        </is>
      </c>
      <c r="B37" s="26">
        <f>Cashflows!$I$6+NPV((1+Assumptions!$C$35)^(1/12)-1,Cashflows!$I$7:$I$42)</f>
        <v/>
      </c>
    </row>
    <row r="38">
      <c r="A38" s="9" t="inlineStr">
        <is>
          <t>Net cash out at signing ($)</t>
        </is>
      </c>
      <c r="B38" s="16">
        <f>-Cashflows!$I$6</f>
        <v/>
      </c>
    </row>
    <row r="39">
      <c r="A39" s="9" t="inlineStr">
        <is>
          <t>Total net cash back over lease ($)</t>
        </is>
      </c>
      <c r="B39" s="16">
        <f>SUM(Cashflows!$I$7:$I$42)</f>
        <v/>
      </c>
    </row>
    <row r="40">
      <c r="A40" s="9" t="inlineStr">
        <is>
          <t>Multiple on cash out</t>
        </is>
      </c>
      <c r="B40" s="32">
        <f>IFERROR(B39/B38,0)</f>
        <v/>
      </c>
    </row>
    <row r="41">
      <c r="A41" s="9" t="inlineStr">
        <is>
          <t>Month cumulative cash turns positive</t>
        </is>
      </c>
      <c r="B41" s="33">
        <f>IF(COUNTIF(Cashflows!$J$6:$J$42,"&lt;0")&gt;36,"never",COUNTIF(Cashflows!$J$6:$J$42,"&lt;0"))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Financier monthly cash flows ($)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Month 0 = signing. Collections are scheduled payments times the collection rate, plus a recovery on the shortfall.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4" t="inlineStr">
        <is>
          <t>Month</t>
        </is>
      </c>
      <c r="B5" s="34" t="inlineStr">
        <is>
          <t>Equipment and install</t>
        </is>
      </c>
      <c r="C5" s="34" t="inlineStr">
        <is>
          <t>Deposit</t>
        </is>
      </c>
      <c r="D5" s="34" t="inlineStr">
        <is>
          <t>Scheduled payment</t>
        </is>
      </c>
      <c r="E5" s="34" t="inlineStr">
        <is>
          <t>Collected</t>
        </is>
      </c>
      <c r="F5" s="34" t="inlineStr">
        <is>
          <t>Recovery on shortfall</t>
        </is>
      </c>
      <c r="G5" s="34" t="inlineStr">
        <is>
          <t>Servicing</t>
        </is>
      </c>
      <c r="H5" s="34" t="inlineStr">
        <is>
          <t>O&amp;M</t>
        </is>
      </c>
      <c r="I5" s="34" t="inlineStr">
        <is>
          <t>Net cash flow</t>
        </is>
      </c>
      <c r="J5" s="34" t="inlineStr">
        <is>
          <t>Cumulative</t>
        </is>
      </c>
    </row>
    <row r="6">
      <c r="A6" s="9" t="n">
        <v>0</v>
      </c>
      <c r="B6" s="16">
        <f>IF(A6=0,-Deal!$B$14,0)</f>
        <v/>
      </c>
      <c r="C6" s="16">
        <f>IF(A6=0,Deal!$B$19,0)</f>
        <v/>
      </c>
      <c r="D6" s="16">
        <f>IF(AND(A6&gt;=1,A6&lt;=Assumptions!$C$28),Deal!$B$21,0)</f>
        <v/>
      </c>
      <c r="E6" s="16">
        <f>D6*Assumptions!$C$30</f>
        <v/>
      </c>
      <c r="F6" s="16">
        <f>(D6-E6)*Assumptions!$C$31</f>
        <v/>
      </c>
      <c r="G6" s="16">
        <f>IF(AND(A6&gt;=1,A6&lt;=Assumptions!$C$28),-Assumptions!$C$32,0)</f>
        <v/>
      </c>
      <c r="H6" s="16">
        <f>IF(AND(A6&gt;=1,A6&lt;=Assumptions!$C$28),-Assumptions!$C$33/12,0)</f>
        <v/>
      </c>
      <c r="I6" s="16">
        <f>B6+C6+E6+F6+G6+H6</f>
        <v/>
      </c>
      <c r="J6" s="16">
        <f>I6</f>
        <v/>
      </c>
    </row>
    <row r="7">
      <c r="A7" s="9" t="n">
        <v>1</v>
      </c>
      <c r="B7" s="16">
        <f>IF(A7=0,-Deal!$B$14,0)</f>
        <v/>
      </c>
      <c r="C7" s="16">
        <f>IF(A7=0,Deal!$B$19,0)</f>
        <v/>
      </c>
      <c r="D7" s="16">
        <f>IF(AND(A7&gt;=1,A7&lt;=Assumptions!$C$28),Deal!$B$21,0)</f>
        <v/>
      </c>
      <c r="E7" s="16">
        <f>D7*Assumptions!$C$30</f>
        <v/>
      </c>
      <c r="F7" s="16">
        <f>(D7-E7)*Assumptions!$C$31</f>
        <v/>
      </c>
      <c r="G7" s="16">
        <f>IF(AND(A7&gt;=1,A7&lt;=Assumptions!$C$28),-Assumptions!$C$32,0)</f>
        <v/>
      </c>
      <c r="H7" s="16">
        <f>IF(AND(A7&gt;=1,A7&lt;=Assumptions!$C$28),-Assumptions!$C$33/12,0)</f>
        <v/>
      </c>
      <c r="I7" s="16">
        <f>B7+C7+E7+F7+G7+H7</f>
        <v/>
      </c>
      <c r="J7" s="16">
        <f>J6+I7</f>
        <v/>
      </c>
    </row>
    <row r="8">
      <c r="A8" s="9" t="n">
        <v>2</v>
      </c>
      <c r="B8" s="16">
        <f>IF(A8=0,-Deal!$B$14,0)</f>
        <v/>
      </c>
      <c r="C8" s="16">
        <f>IF(A8=0,Deal!$B$19,0)</f>
        <v/>
      </c>
      <c r="D8" s="16">
        <f>IF(AND(A8&gt;=1,A8&lt;=Assumptions!$C$28),Deal!$B$21,0)</f>
        <v/>
      </c>
      <c r="E8" s="16">
        <f>D8*Assumptions!$C$30</f>
        <v/>
      </c>
      <c r="F8" s="16">
        <f>(D8-E8)*Assumptions!$C$31</f>
        <v/>
      </c>
      <c r="G8" s="16">
        <f>IF(AND(A8&gt;=1,A8&lt;=Assumptions!$C$28),-Assumptions!$C$32,0)</f>
        <v/>
      </c>
      <c r="H8" s="16">
        <f>IF(AND(A8&gt;=1,A8&lt;=Assumptions!$C$28),-Assumptions!$C$33/12,0)</f>
        <v/>
      </c>
      <c r="I8" s="16">
        <f>B8+C8+E8+F8+G8+H8</f>
        <v/>
      </c>
      <c r="J8" s="16">
        <f>J7+I8</f>
        <v/>
      </c>
    </row>
    <row r="9">
      <c r="A9" s="9" t="n">
        <v>3</v>
      </c>
      <c r="B9" s="16">
        <f>IF(A9=0,-Deal!$B$14,0)</f>
        <v/>
      </c>
      <c r="C9" s="16">
        <f>IF(A9=0,Deal!$B$19,0)</f>
        <v/>
      </c>
      <c r="D9" s="16">
        <f>IF(AND(A9&gt;=1,A9&lt;=Assumptions!$C$28),Deal!$B$21,0)</f>
        <v/>
      </c>
      <c r="E9" s="16">
        <f>D9*Assumptions!$C$30</f>
        <v/>
      </c>
      <c r="F9" s="16">
        <f>(D9-E9)*Assumptions!$C$31</f>
        <v/>
      </c>
      <c r="G9" s="16">
        <f>IF(AND(A9&gt;=1,A9&lt;=Assumptions!$C$28),-Assumptions!$C$32,0)</f>
        <v/>
      </c>
      <c r="H9" s="16">
        <f>IF(AND(A9&gt;=1,A9&lt;=Assumptions!$C$28),-Assumptions!$C$33/12,0)</f>
        <v/>
      </c>
      <c r="I9" s="16">
        <f>B9+C9+E9+F9+G9+H9</f>
        <v/>
      </c>
      <c r="J9" s="16">
        <f>J8+I9</f>
        <v/>
      </c>
    </row>
    <row r="10">
      <c r="A10" s="9" t="n">
        <v>4</v>
      </c>
      <c r="B10" s="16">
        <f>IF(A10=0,-Deal!$B$14,0)</f>
        <v/>
      </c>
      <c r="C10" s="16">
        <f>IF(A10=0,Deal!$B$19,0)</f>
        <v/>
      </c>
      <c r="D10" s="16">
        <f>IF(AND(A10&gt;=1,A10&lt;=Assumptions!$C$28),Deal!$B$21,0)</f>
        <v/>
      </c>
      <c r="E10" s="16">
        <f>D10*Assumptions!$C$30</f>
        <v/>
      </c>
      <c r="F10" s="16">
        <f>(D10-E10)*Assumptions!$C$31</f>
        <v/>
      </c>
      <c r="G10" s="16">
        <f>IF(AND(A10&gt;=1,A10&lt;=Assumptions!$C$28),-Assumptions!$C$32,0)</f>
        <v/>
      </c>
      <c r="H10" s="16">
        <f>IF(AND(A10&gt;=1,A10&lt;=Assumptions!$C$28),-Assumptions!$C$33/12,0)</f>
        <v/>
      </c>
      <c r="I10" s="16">
        <f>B10+C10+E10+F10+G10+H10</f>
        <v/>
      </c>
      <c r="J10" s="16">
        <f>J9+I10</f>
        <v/>
      </c>
    </row>
    <row r="11">
      <c r="A11" s="9" t="n">
        <v>5</v>
      </c>
      <c r="B11" s="16">
        <f>IF(A11=0,-Deal!$B$14,0)</f>
        <v/>
      </c>
      <c r="C11" s="16">
        <f>IF(A11=0,Deal!$B$19,0)</f>
        <v/>
      </c>
      <c r="D11" s="16">
        <f>IF(AND(A11&gt;=1,A11&lt;=Assumptions!$C$28),Deal!$B$21,0)</f>
        <v/>
      </c>
      <c r="E11" s="16">
        <f>D11*Assumptions!$C$30</f>
        <v/>
      </c>
      <c r="F11" s="16">
        <f>(D11-E11)*Assumptions!$C$31</f>
        <v/>
      </c>
      <c r="G11" s="16">
        <f>IF(AND(A11&gt;=1,A11&lt;=Assumptions!$C$28),-Assumptions!$C$32,0)</f>
        <v/>
      </c>
      <c r="H11" s="16">
        <f>IF(AND(A11&gt;=1,A11&lt;=Assumptions!$C$28),-Assumptions!$C$33/12,0)</f>
        <v/>
      </c>
      <c r="I11" s="16">
        <f>B11+C11+E11+F11+G11+H11</f>
        <v/>
      </c>
      <c r="J11" s="16">
        <f>J10+I11</f>
        <v/>
      </c>
    </row>
    <row r="12">
      <c r="A12" s="9" t="n">
        <v>6</v>
      </c>
      <c r="B12" s="16">
        <f>IF(A12=0,-Deal!$B$14,0)</f>
        <v/>
      </c>
      <c r="C12" s="16">
        <f>IF(A12=0,Deal!$B$19,0)</f>
        <v/>
      </c>
      <c r="D12" s="16">
        <f>IF(AND(A12&gt;=1,A12&lt;=Assumptions!$C$28),Deal!$B$21,0)</f>
        <v/>
      </c>
      <c r="E12" s="16">
        <f>D12*Assumptions!$C$30</f>
        <v/>
      </c>
      <c r="F12" s="16">
        <f>(D12-E12)*Assumptions!$C$31</f>
        <v/>
      </c>
      <c r="G12" s="16">
        <f>IF(AND(A12&gt;=1,A12&lt;=Assumptions!$C$28),-Assumptions!$C$32,0)</f>
        <v/>
      </c>
      <c r="H12" s="16">
        <f>IF(AND(A12&gt;=1,A12&lt;=Assumptions!$C$28),-Assumptions!$C$33/12,0)</f>
        <v/>
      </c>
      <c r="I12" s="16">
        <f>B12+C12+E12+F12+G12+H12</f>
        <v/>
      </c>
      <c r="J12" s="16">
        <f>J11+I12</f>
        <v/>
      </c>
    </row>
    <row r="13">
      <c r="A13" s="9" t="n">
        <v>7</v>
      </c>
      <c r="B13" s="16">
        <f>IF(A13=0,-Deal!$B$14,0)</f>
        <v/>
      </c>
      <c r="C13" s="16">
        <f>IF(A13=0,Deal!$B$19,0)</f>
        <v/>
      </c>
      <c r="D13" s="16">
        <f>IF(AND(A13&gt;=1,A13&lt;=Assumptions!$C$28),Deal!$B$21,0)</f>
        <v/>
      </c>
      <c r="E13" s="16">
        <f>D13*Assumptions!$C$30</f>
        <v/>
      </c>
      <c r="F13" s="16">
        <f>(D13-E13)*Assumptions!$C$31</f>
        <v/>
      </c>
      <c r="G13" s="16">
        <f>IF(AND(A13&gt;=1,A13&lt;=Assumptions!$C$28),-Assumptions!$C$32,0)</f>
        <v/>
      </c>
      <c r="H13" s="16">
        <f>IF(AND(A13&gt;=1,A13&lt;=Assumptions!$C$28),-Assumptions!$C$33/12,0)</f>
        <v/>
      </c>
      <c r="I13" s="16">
        <f>B13+C13+E13+F13+G13+H13</f>
        <v/>
      </c>
      <c r="J13" s="16">
        <f>J12+I13</f>
        <v/>
      </c>
    </row>
    <row r="14">
      <c r="A14" s="9" t="n">
        <v>8</v>
      </c>
      <c r="B14" s="16">
        <f>IF(A14=0,-Deal!$B$14,0)</f>
        <v/>
      </c>
      <c r="C14" s="16">
        <f>IF(A14=0,Deal!$B$19,0)</f>
        <v/>
      </c>
      <c r="D14" s="16">
        <f>IF(AND(A14&gt;=1,A14&lt;=Assumptions!$C$28),Deal!$B$21,0)</f>
        <v/>
      </c>
      <c r="E14" s="16">
        <f>D14*Assumptions!$C$30</f>
        <v/>
      </c>
      <c r="F14" s="16">
        <f>(D14-E14)*Assumptions!$C$31</f>
        <v/>
      </c>
      <c r="G14" s="16">
        <f>IF(AND(A14&gt;=1,A14&lt;=Assumptions!$C$28),-Assumptions!$C$32,0)</f>
        <v/>
      </c>
      <c r="H14" s="16">
        <f>IF(AND(A14&gt;=1,A14&lt;=Assumptions!$C$28),-Assumptions!$C$33/12,0)</f>
        <v/>
      </c>
      <c r="I14" s="16">
        <f>B14+C14+E14+F14+G14+H14</f>
        <v/>
      </c>
      <c r="J14" s="16">
        <f>J13+I14</f>
        <v/>
      </c>
    </row>
    <row r="15">
      <c r="A15" s="9" t="n">
        <v>9</v>
      </c>
      <c r="B15" s="16">
        <f>IF(A15=0,-Deal!$B$14,0)</f>
        <v/>
      </c>
      <c r="C15" s="16">
        <f>IF(A15=0,Deal!$B$19,0)</f>
        <v/>
      </c>
      <c r="D15" s="16">
        <f>IF(AND(A15&gt;=1,A15&lt;=Assumptions!$C$28),Deal!$B$21,0)</f>
        <v/>
      </c>
      <c r="E15" s="16">
        <f>D15*Assumptions!$C$30</f>
        <v/>
      </c>
      <c r="F15" s="16">
        <f>(D15-E15)*Assumptions!$C$31</f>
        <v/>
      </c>
      <c r="G15" s="16">
        <f>IF(AND(A15&gt;=1,A15&lt;=Assumptions!$C$28),-Assumptions!$C$32,0)</f>
        <v/>
      </c>
      <c r="H15" s="16">
        <f>IF(AND(A15&gt;=1,A15&lt;=Assumptions!$C$28),-Assumptions!$C$33/12,0)</f>
        <v/>
      </c>
      <c r="I15" s="16">
        <f>B15+C15+E15+F15+G15+H15</f>
        <v/>
      </c>
      <c r="J15" s="16">
        <f>J14+I15</f>
        <v/>
      </c>
    </row>
    <row r="16">
      <c r="A16" s="9" t="n">
        <v>10</v>
      </c>
      <c r="B16" s="16">
        <f>IF(A16=0,-Deal!$B$14,0)</f>
        <v/>
      </c>
      <c r="C16" s="16">
        <f>IF(A16=0,Deal!$B$19,0)</f>
        <v/>
      </c>
      <c r="D16" s="16">
        <f>IF(AND(A16&gt;=1,A16&lt;=Assumptions!$C$28),Deal!$B$21,0)</f>
        <v/>
      </c>
      <c r="E16" s="16">
        <f>D16*Assumptions!$C$30</f>
        <v/>
      </c>
      <c r="F16" s="16">
        <f>(D16-E16)*Assumptions!$C$31</f>
        <v/>
      </c>
      <c r="G16" s="16">
        <f>IF(AND(A16&gt;=1,A16&lt;=Assumptions!$C$28),-Assumptions!$C$32,0)</f>
        <v/>
      </c>
      <c r="H16" s="16">
        <f>IF(AND(A16&gt;=1,A16&lt;=Assumptions!$C$28),-Assumptions!$C$33/12,0)</f>
        <v/>
      </c>
      <c r="I16" s="16">
        <f>B16+C16+E16+F16+G16+H16</f>
        <v/>
      </c>
      <c r="J16" s="16">
        <f>J15+I16</f>
        <v/>
      </c>
    </row>
    <row r="17">
      <c r="A17" s="9" t="n">
        <v>11</v>
      </c>
      <c r="B17" s="16">
        <f>IF(A17=0,-Deal!$B$14,0)</f>
        <v/>
      </c>
      <c r="C17" s="16">
        <f>IF(A17=0,Deal!$B$19,0)</f>
        <v/>
      </c>
      <c r="D17" s="16">
        <f>IF(AND(A17&gt;=1,A17&lt;=Assumptions!$C$28),Deal!$B$21,0)</f>
        <v/>
      </c>
      <c r="E17" s="16">
        <f>D17*Assumptions!$C$30</f>
        <v/>
      </c>
      <c r="F17" s="16">
        <f>(D17-E17)*Assumptions!$C$31</f>
        <v/>
      </c>
      <c r="G17" s="16">
        <f>IF(AND(A17&gt;=1,A17&lt;=Assumptions!$C$28),-Assumptions!$C$32,0)</f>
        <v/>
      </c>
      <c r="H17" s="16">
        <f>IF(AND(A17&gt;=1,A17&lt;=Assumptions!$C$28),-Assumptions!$C$33/12,0)</f>
        <v/>
      </c>
      <c r="I17" s="16">
        <f>B17+C17+E17+F17+G17+H17</f>
        <v/>
      </c>
      <c r="J17" s="16">
        <f>J16+I17</f>
        <v/>
      </c>
    </row>
    <row r="18">
      <c r="A18" s="9" t="n">
        <v>12</v>
      </c>
      <c r="B18" s="16">
        <f>IF(A18=0,-Deal!$B$14,0)</f>
        <v/>
      </c>
      <c r="C18" s="16">
        <f>IF(A18=0,Deal!$B$19,0)</f>
        <v/>
      </c>
      <c r="D18" s="16">
        <f>IF(AND(A18&gt;=1,A18&lt;=Assumptions!$C$28),Deal!$B$21,0)</f>
        <v/>
      </c>
      <c r="E18" s="16">
        <f>D18*Assumptions!$C$30</f>
        <v/>
      </c>
      <c r="F18" s="16">
        <f>(D18-E18)*Assumptions!$C$31</f>
        <v/>
      </c>
      <c r="G18" s="16">
        <f>IF(AND(A18&gt;=1,A18&lt;=Assumptions!$C$28),-Assumptions!$C$32,0)</f>
        <v/>
      </c>
      <c r="H18" s="16">
        <f>IF(AND(A18&gt;=1,A18&lt;=Assumptions!$C$28),-Assumptions!$C$33/12,0)</f>
        <v/>
      </c>
      <c r="I18" s="16">
        <f>B18+C18+E18+F18+G18+H18</f>
        <v/>
      </c>
      <c r="J18" s="16">
        <f>J17+I18</f>
        <v/>
      </c>
    </row>
    <row r="19">
      <c r="A19" s="9" t="n">
        <v>13</v>
      </c>
      <c r="B19" s="16">
        <f>IF(A19=0,-Deal!$B$14,0)</f>
        <v/>
      </c>
      <c r="C19" s="16">
        <f>IF(A19=0,Deal!$B$19,0)</f>
        <v/>
      </c>
      <c r="D19" s="16">
        <f>IF(AND(A19&gt;=1,A19&lt;=Assumptions!$C$28),Deal!$B$21,0)</f>
        <v/>
      </c>
      <c r="E19" s="16">
        <f>D19*Assumptions!$C$30</f>
        <v/>
      </c>
      <c r="F19" s="16">
        <f>(D19-E19)*Assumptions!$C$31</f>
        <v/>
      </c>
      <c r="G19" s="16">
        <f>IF(AND(A19&gt;=1,A19&lt;=Assumptions!$C$28),-Assumptions!$C$32,0)</f>
        <v/>
      </c>
      <c r="H19" s="16">
        <f>IF(AND(A19&gt;=1,A19&lt;=Assumptions!$C$28),-Assumptions!$C$33/12,0)</f>
        <v/>
      </c>
      <c r="I19" s="16">
        <f>B19+C19+E19+F19+G19+H19</f>
        <v/>
      </c>
      <c r="J19" s="16">
        <f>J18+I19</f>
        <v/>
      </c>
    </row>
    <row r="20">
      <c r="A20" s="9" t="n">
        <v>14</v>
      </c>
      <c r="B20" s="16">
        <f>IF(A20=0,-Deal!$B$14,0)</f>
        <v/>
      </c>
      <c r="C20" s="16">
        <f>IF(A20=0,Deal!$B$19,0)</f>
        <v/>
      </c>
      <c r="D20" s="16">
        <f>IF(AND(A20&gt;=1,A20&lt;=Assumptions!$C$28),Deal!$B$21,0)</f>
        <v/>
      </c>
      <c r="E20" s="16">
        <f>D20*Assumptions!$C$30</f>
        <v/>
      </c>
      <c r="F20" s="16">
        <f>(D20-E20)*Assumptions!$C$31</f>
        <v/>
      </c>
      <c r="G20" s="16">
        <f>IF(AND(A20&gt;=1,A20&lt;=Assumptions!$C$28),-Assumptions!$C$32,0)</f>
        <v/>
      </c>
      <c r="H20" s="16">
        <f>IF(AND(A20&gt;=1,A20&lt;=Assumptions!$C$28),-Assumptions!$C$33/12,0)</f>
        <v/>
      </c>
      <c r="I20" s="16">
        <f>B20+C20+E20+F20+G20+H20</f>
        <v/>
      </c>
      <c r="J20" s="16">
        <f>J19+I20</f>
        <v/>
      </c>
    </row>
    <row r="21">
      <c r="A21" s="9" t="n">
        <v>15</v>
      </c>
      <c r="B21" s="16">
        <f>IF(A21=0,-Deal!$B$14,0)</f>
        <v/>
      </c>
      <c r="C21" s="16">
        <f>IF(A21=0,Deal!$B$19,0)</f>
        <v/>
      </c>
      <c r="D21" s="16">
        <f>IF(AND(A21&gt;=1,A21&lt;=Assumptions!$C$28),Deal!$B$21,0)</f>
        <v/>
      </c>
      <c r="E21" s="16">
        <f>D21*Assumptions!$C$30</f>
        <v/>
      </c>
      <c r="F21" s="16">
        <f>(D21-E21)*Assumptions!$C$31</f>
        <v/>
      </c>
      <c r="G21" s="16">
        <f>IF(AND(A21&gt;=1,A21&lt;=Assumptions!$C$28),-Assumptions!$C$32,0)</f>
        <v/>
      </c>
      <c r="H21" s="16">
        <f>IF(AND(A21&gt;=1,A21&lt;=Assumptions!$C$28),-Assumptions!$C$33/12,0)</f>
        <v/>
      </c>
      <c r="I21" s="16">
        <f>B21+C21+E21+F21+G21+H21</f>
        <v/>
      </c>
      <c r="J21" s="16">
        <f>J20+I21</f>
        <v/>
      </c>
    </row>
    <row r="22">
      <c r="A22" s="9" t="n">
        <v>16</v>
      </c>
      <c r="B22" s="16">
        <f>IF(A22=0,-Deal!$B$14,0)</f>
        <v/>
      </c>
      <c r="C22" s="16">
        <f>IF(A22=0,Deal!$B$19,0)</f>
        <v/>
      </c>
      <c r="D22" s="16">
        <f>IF(AND(A22&gt;=1,A22&lt;=Assumptions!$C$28),Deal!$B$21,0)</f>
        <v/>
      </c>
      <c r="E22" s="16">
        <f>D22*Assumptions!$C$30</f>
        <v/>
      </c>
      <c r="F22" s="16">
        <f>(D22-E22)*Assumptions!$C$31</f>
        <v/>
      </c>
      <c r="G22" s="16">
        <f>IF(AND(A22&gt;=1,A22&lt;=Assumptions!$C$28),-Assumptions!$C$32,0)</f>
        <v/>
      </c>
      <c r="H22" s="16">
        <f>IF(AND(A22&gt;=1,A22&lt;=Assumptions!$C$28),-Assumptions!$C$33/12,0)</f>
        <v/>
      </c>
      <c r="I22" s="16">
        <f>B22+C22+E22+F22+G22+H22</f>
        <v/>
      </c>
      <c r="J22" s="16">
        <f>J21+I22</f>
        <v/>
      </c>
    </row>
    <row r="23">
      <c r="A23" s="9" t="n">
        <v>17</v>
      </c>
      <c r="B23" s="16">
        <f>IF(A23=0,-Deal!$B$14,0)</f>
        <v/>
      </c>
      <c r="C23" s="16">
        <f>IF(A23=0,Deal!$B$19,0)</f>
        <v/>
      </c>
      <c r="D23" s="16">
        <f>IF(AND(A23&gt;=1,A23&lt;=Assumptions!$C$28),Deal!$B$21,0)</f>
        <v/>
      </c>
      <c r="E23" s="16">
        <f>D23*Assumptions!$C$30</f>
        <v/>
      </c>
      <c r="F23" s="16">
        <f>(D23-E23)*Assumptions!$C$31</f>
        <v/>
      </c>
      <c r="G23" s="16">
        <f>IF(AND(A23&gt;=1,A23&lt;=Assumptions!$C$28),-Assumptions!$C$32,0)</f>
        <v/>
      </c>
      <c r="H23" s="16">
        <f>IF(AND(A23&gt;=1,A23&lt;=Assumptions!$C$28),-Assumptions!$C$33/12,0)</f>
        <v/>
      </c>
      <c r="I23" s="16">
        <f>B23+C23+E23+F23+G23+H23</f>
        <v/>
      </c>
      <c r="J23" s="16">
        <f>J22+I23</f>
        <v/>
      </c>
    </row>
    <row r="24">
      <c r="A24" s="9" t="n">
        <v>18</v>
      </c>
      <c r="B24" s="16">
        <f>IF(A24=0,-Deal!$B$14,0)</f>
        <v/>
      </c>
      <c r="C24" s="16">
        <f>IF(A24=0,Deal!$B$19,0)</f>
        <v/>
      </c>
      <c r="D24" s="16">
        <f>IF(AND(A24&gt;=1,A24&lt;=Assumptions!$C$28),Deal!$B$21,0)</f>
        <v/>
      </c>
      <c r="E24" s="16">
        <f>D24*Assumptions!$C$30</f>
        <v/>
      </c>
      <c r="F24" s="16">
        <f>(D24-E24)*Assumptions!$C$31</f>
        <v/>
      </c>
      <c r="G24" s="16">
        <f>IF(AND(A24&gt;=1,A24&lt;=Assumptions!$C$28),-Assumptions!$C$32,0)</f>
        <v/>
      </c>
      <c r="H24" s="16">
        <f>IF(AND(A24&gt;=1,A24&lt;=Assumptions!$C$28),-Assumptions!$C$33/12,0)</f>
        <v/>
      </c>
      <c r="I24" s="16">
        <f>B24+C24+E24+F24+G24+H24</f>
        <v/>
      </c>
      <c r="J24" s="16">
        <f>J23+I24</f>
        <v/>
      </c>
    </row>
    <row r="25">
      <c r="A25" s="9" t="n">
        <v>19</v>
      </c>
      <c r="B25" s="16">
        <f>IF(A25=0,-Deal!$B$14,0)</f>
        <v/>
      </c>
      <c r="C25" s="16">
        <f>IF(A25=0,Deal!$B$19,0)</f>
        <v/>
      </c>
      <c r="D25" s="16">
        <f>IF(AND(A25&gt;=1,A25&lt;=Assumptions!$C$28),Deal!$B$21,0)</f>
        <v/>
      </c>
      <c r="E25" s="16">
        <f>D25*Assumptions!$C$30</f>
        <v/>
      </c>
      <c r="F25" s="16">
        <f>(D25-E25)*Assumptions!$C$31</f>
        <v/>
      </c>
      <c r="G25" s="16">
        <f>IF(AND(A25&gt;=1,A25&lt;=Assumptions!$C$28),-Assumptions!$C$32,0)</f>
        <v/>
      </c>
      <c r="H25" s="16">
        <f>IF(AND(A25&gt;=1,A25&lt;=Assumptions!$C$28),-Assumptions!$C$33/12,0)</f>
        <v/>
      </c>
      <c r="I25" s="16">
        <f>B25+C25+E25+F25+G25+H25</f>
        <v/>
      </c>
      <c r="J25" s="16">
        <f>J24+I25</f>
        <v/>
      </c>
    </row>
    <row r="26">
      <c r="A26" s="9" t="n">
        <v>20</v>
      </c>
      <c r="B26" s="16">
        <f>IF(A26=0,-Deal!$B$14,0)</f>
        <v/>
      </c>
      <c r="C26" s="16">
        <f>IF(A26=0,Deal!$B$19,0)</f>
        <v/>
      </c>
      <c r="D26" s="16">
        <f>IF(AND(A26&gt;=1,A26&lt;=Assumptions!$C$28),Deal!$B$21,0)</f>
        <v/>
      </c>
      <c r="E26" s="16">
        <f>D26*Assumptions!$C$30</f>
        <v/>
      </c>
      <c r="F26" s="16">
        <f>(D26-E26)*Assumptions!$C$31</f>
        <v/>
      </c>
      <c r="G26" s="16">
        <f>IF(AND(A26&gt;=1,A26&lt;=Assumptions!$C$28),-Assumptions!$C$32,0)</f>
        <v/>
      </c>
      <c r="H26" s="16">
        <f>IF(AND(A26&gt;=1,A26&lt;=Assumptions!$C$28),-Assumptions!$C$33/12,0)</f>
        <v/>
      </c>
      <c r="I26" s="16">
        <f>B26+C26+E26+F26+G26+H26</f>
        <v/>
      </c>
      <c r="J26" s="16">
        <f>J25+I26</f>
        <v/>
      </c>
    </row>
    <row r="27">
      <c r="A27" s="9" t="n">
        <v>21</v>
      </c>
      <c r="B27" s="16">
        <f>IF(A27=0,-Deal!$B$14,0)</f>
        <v/>
      </c>
      <c r="C27" s="16">
        <f>IF(A27=0,Deal!$B$19,0)</f>
        <v/>
      </c>
      <c r="D27" s="16">
        <f>IF(AND(A27&gt;=1,A27&lt;=Assumptions!$C$28),Deal!$B$21,0)</f>
        <v/>
      </c>
      <c r="E27" s="16">
        <f>D27*Assumptions!$C$30</f>
        <v/>
      </c>
      <c r="F27" s="16">
        <f>(D27-E27)*Assumptions!$C$31</f>
        <v/>
      </c>
      <c r="G27" s="16">
        <f>IF(AND(A27&gt;=1,A27&lt;=Assumptions!$C$28),-Assumptions!$C$32,0)</f>
        <v/>
      </c>
      <c r="H27" s="16">
        <f>IF(AND(A27&gt;=1,A27&lt;=Assumptions!$C$28),-Assumptions!$C$33/12,0)</f>
        <v/>
      </c>
      <c r="I27" s="16">
        <f>B27+C27+E27+F27+G27+H27</f>
        <v/>
      </c>
      <c r="J27" s="16">
        <f>J26+I27</f>
        <v/>
      </c>
    </row>
    <row r="28">
      <c r="A28" s="9" t="n">
        <v>22</v>
      </c>
      <c r="B28" s="16">
        <f>IF(A28=0,-Deal!$B$14,0)</f>
        <v/>
      </c>
      <c r="C28" s="16">
        <f>IF(A28=0,Deal!$B$19,0)</f>
        <v/>
      </c>
      <c r="D28" s="16">
        <f>IF(AND(A28&gt;=1,A28&lt;=Assumptions!$C$28),Deal!$B$21,0)</f>
        <v/>
      </c>
      <c r="E28" s="16">
        <f>D28*Assumptions!$C$30</f>
        <v/>
      </c>
      <c r="F28" s="16">
        <f>(D28-E28)*Assumptions!$C$31</f>
        <v/>
      </c>
      <c r="G28" s="16">
        <f>IF(AND(A28&gt;=1,A28&lt;=Assumptions!$C$28),-Assumptions!$C$32,0)</f>
        <v/>
      </c>
      <c r="H28" s="16">
        <f>IF(AND(A28&gt;=1,A28&lt;=Assumptions!$C$28),-Assumptions!$C$33/12,0)</f>
        <v/>
      </c>
      <c r="I28" s="16">
        <f>B28+C28+E28+F28+G28+H28</f>
        <v/>
      </c>
      <c r="J28" s="16">
        <f>J27+I28</f>
        <v/>
      </c>
    </row>
    <row r="29">
      <c r="A29" s="9" t="n">
        <v>23</v>
      </c>
      <c r="B29" s="16">
        <f>IF(A29=0,-Deal!$B$14,0)</f>
        <v/>
      </c>
      <c r="C29" s="16">
        <f>IF(A29=0,Deal!$B$19,0)</f>
        <v/>
      </c>
      <c r="D29" s="16">
        <f>IF(AND(A29&gt;=1,A29&lt;=Assumptions!$C$28),Deal!$B$21,0)</f>
        <v/>
      </c>
      <c r="E29" s="16">
        <f>D29*Assumptions!$C$30</f>
        <v/>
      </c>
      <c r="F29" s="16">
        <f>(D29-E29)*Assumptions!$C$31</f>
        <v/>
      </c>
      <c r="G29" s="16">
        <f>IF(AND(A29&gt;=1,A29&lt;=Assumptions!$C$28),-Assumptions!$C$32,0)</f>
        <v/>
      </c>
      <c r="H29" s="16">
        <f>IF(AND(A29&gt;=1,A29&lt;=Assumptions!$C$28),-Assumptions!$C$33/12,0)</f>
        <v/>
      </c>
      <c r="I29" s="16">
        <f>B29+C29+E29+F29+G29+H29</f>
        <v/>
      </c>
      <c r="J29" s="16">
        <f>J28+I29</f>
        <v/>
      </c>
    </row>
    <row r="30">
      <c r="A30" s="9" t="n">
        <v>24</v>
      </c>
      <c r="B30" s="16">
        <f>IF(A30=0,-Deal!$B$14,0)</f>
        <v/>
      </c>
      <c r="C30" s="16">
        <f>IF(A30=0,Deal!$B$19,0)</f>
        <v/>
      </c>
      <c r="D30" s="16">
        <f>IF(AND(A30&gt;=1,A30&lt;=Assumptions!$C$28),Deal!$B$21,0)</f>
        <v/>
      </c>
      <c r="E30" s="16">
        <f>D30*Assumptions!$C$30</f>
        <v/>
      </c>
      <c r="F30" s="16">
        <f>(D30-E30)*Assumptions!$C$31</f>
        <v/>
      </c>
      <c r="G30" s="16">
        <f>IF(AND(A30&gt;=1,A30&lt;=Assumptions!$C$28),-Assumptions!$C$32,0)</f>
        <v/>
      </c>
      <c r="H30" s="16">
        <f>IF(AND(A30&gt;=1,A30&lt;=Assumptions!$C$28),-Assumptions!$C$33/12,0)</f>
        <v/>
      </c>
      <c r="I30" s="16">
        <f>B30+C30+E30+F30+G30+H30</f>
        <v/>
      </c>
      <c r="J30" s="16">
        <f>J29+I30</f>
        <v/>
      </c>
    </row>
    <row r="31">
      <c r="A31" s="9" t="n">
        <v>25</v>
      </c>
      <c r="B31" s="16">
        <f>IF(A31=0,-Deal!$B$14,0)</f>
        <v/>
      </c>
      <c r="C31" s="16">
        <f>IF(A31=0,Deal!$B$19,0)</f>
        <v/>
      </c>
      <c r="D31" s="16">
        <f>IF(AND(A31&gt;=1,A31&lt;=Assumptions!$C$28),Deal!$B$21,0)</f>
        <v/>
      </c>
      <c r="E31" s="16">
        <f>D31*Assumptions!$C$30</f>
        <v/>
      </c>
      <c r="F31" s="16">
        <f>(D31-E31)*Assumptions!$C$31</f>
        <v/>
      </c>
      <c r="G31" s="16">
        <f>IF(AND(A31&gt;=1,A31&lt;=Assumptions!$C$28),-Assumptions!$C$32,0)</f>
        <v/>
      </c>
      <c r="H31" s="16">
        <f>IF(AND(A31&gt;=1,A31&lt;=Assumptions!$C$28),-Assumptions!$C$33/12,0)</f>
        <v/>
      </c>
      <c r="I31" s="16">
        <f>B31+C31+E31+F31+G31+H31</f>
        <v/>
      </c>
      <c r="J31" s="16">
        <f>J30+I31</f>
        <v/>
      </c>
    </row>
    <row r="32">
      <c r="A32" s="9" t="n">
        <v>26</v>
      </c>
      <c r="B32" s="16">
        <f>IF(A32=0,-Deal!$B$14,0)</f>
        <v/>
      </c>
      <c r="C32" s="16">
        <f>IF(A32=0,Deal!$B$19,0)</f>
        <v/>
      </c>
      <c r="D32" s="16">
        <f>IF(AND(A32&gt;=1,A32&lt;=Assumptions!$C$28),Deal!$B$21,0)</f>
        <v/>
      </c>
      <c r="E32" s="16">
        <f>D32*Assumptions!$C$30</f>
        <v/>
      </c>
      <c r="F32" s="16">
        <f>(D32-E32)*Assumptions!$C$31</f>
        <v/>
      </c>
      <c r="G32" s="16">
        <f>IF(AND(A32&gt;=1,A32&lt;=Assumptions!$C$28),-Assumptions!$C$32,0)</f>
        <v/>
      </c>
      <c r="H32" s="16">
        <f>IF(AND(A32&gt;=1,A32&lt;=Assumptions!$C$28),-Assumptions!$C$33/12,0)</f>
        <v/>
      </c>
      <c r="I32" s="16">
        <f>B32+C32+E32+F32+G32+H32</f>
        <v/>
      </c>
      <c r="J32" s="16">
        <f>J31+I32</f>
        <v/>
      </c>
    </row>
    <row r="33">
      <c r="A33" s="9" t="n">
        <v>27</v>
      </c>
      <c r="B33" s="16">
        <f>IF(A33=0,-Deal!$B$14,0)</f>
        <v/>
      </c>
      <c r="C33" s="16">
        <f>IF(A33=0,Deal!$B$19,0)</f>
        <v/>
      </c>
      <c r="D33" s="16">
        <f>IF(AND(A33&gt;=1,A33&lt;=Assumptions!$C$28),Deal!$B$21,0)</f>
        <v/>
      </c>
      <c r="E33" s="16">
        <f>D33*Assumptions!$C$30</f>
        <v/>
      </c>
      <c r="F33" s="16">
        <f>(D33-E33)*Assumptions!$C$31</f>
        <v/>
      </c>
      <c r="G33" s="16">
        <f>IF(AND(A33&gt;=1,A33&lt;=Assumptions!$C$28),-Assumptions!$C$32,0)</f>
        <v/>
      </c>
      <c r="H33" s="16">
        <f>IF(AND(A33&gt;=1,A33&lt;=Assumptions!$C$28),-Assumptions!$C$33/12,0)</f>
        <v/>
      </c>
      <c r="I33" s="16">
        <f>B33+C33+E33+F33+G33+H33</f>
        <v/>
      </c>
      <c r="J33" s="16">
        <f>J32+I33</f>
        <v/>
      </c>
    </row>
    <row r="34">
      <c r="A34" s="9" t="n">
        <v>28</v>
      </c>
      <c r="B34" s="16">
        <f>IF(A34=0,-Deal!$B$14,0)</f>
        <v/>
      </c>
      <c r="C34" s="16">
        <f>IF(A34=0,Deal!$B$19,0)</f>
        <v/>
      </c>
      <c r="D34" s="16">
        <f>IF(AND(A34&gt;=1,A34&lt;=Assumptions!$C$28),Deal!$B$21,0)</f>
        <v/>
      </c>
      <c r="E34" s="16">
        <f>D34*Assumptions!$C$30</f>
        <v/>
      </c>
      <c r="F34" s="16">
        <f>(D34-E34)*Assumptions!$C$31</f>
        <v/>
      </c>
      <c r="G34" s="16">
        <f>IF(AND(A34&gt;=1,A34&lt;=Assumptions!$C$28),-Assumptions!$C$32,0)</f>
        <v/>
      </c>
      <c r="H34" s="16">
        <f>IF(AND(A34&gt;=1,A34&lt;=Assumptions!$C$28),-Assumptions!$C$33/12,0)</f>
        <v/>
      </c>
      <c r="I34" s="16">
        <f>B34+C34+E34+F34+G34+H34</f>
        <v/>
      </c>
      <c r="J34" s="16">
        <f>J33+I34</f>
        <v/>
      </c>
    </row>
    <row r="35">
      <c r="A35" s="9" t="n">
        <v>29</v>
      </c>
      <c r="B35" s="16">
        <f>IF(A35=0,-Deal!$B$14,0)</f>
        <v/>
      </c>
      <c r="C35" s="16">
        <f>IF(A35=0,Deal!$B$19,0)</f>
        <v/>
      </c>
      <c r="D35" s="16">
        <f>IF(AND(A35&gt;=1,A35&lt;=Assumptions!$C$28),Deal!$B$21,0)</f>
        <v/>
      </c>
      <c r="E35" s="16">
        <f>D35*Assumptions!$C$30</f>
        <v/>
      </c>
      <c r="F35" s="16">
        <f>(D35-E35)*Assumptions!$C$31</f>
        <v/>
      </c>
      <c r="G35" s="16">
        <f>IF(AND(A35&gt;=1,A35&lt;=Assumptions!$C$28),-Assumptions!$C$32,0)</f>
        <v/>
      </c>
      <c r="H35" s="16">
        <f>IF(AND(A35&gt;=1,A35&lt;=Assumptions!$C$28),-Assumptions!$C$33/12,0)</f>
        <v/>
      </c>
      <c r="I35" s="16">
        <f>B35+C35+E35+F35+G35+H35</f>
        <v/>
      </c>
      <c r="J35" s="16">
        <f>J34+I35</f>
        <v/>
      </c>
    </row>
    <row r="36">
      <c r="A36" s="9" t="n">
        <v>30</v>
      </c>
      <c r="B36" s="16">
        <f>IF(A36=0,-Deal!$B$14,0)</f>
        <v/>
      </c>
      <c r="C36" s="16">
        <f>IF(A36=0,Deal!$B$19,0)</f>
        <v/>
      </c>
      <c r="D36" s="16">
        <f>IF(AND(A36&gt;=1,A36&lt;=Assumptions!$C$28),Deal!$B$21,0)</f>
        <v/>
      </c>
      <c r="E36" s="16">
        <f>D36*Assumptions!$C$30</f>
        <v/>
      </c>
      <c r="F36" s="16">
        <f>(D36-E36)*Assumptions!$C$31</f>
        <v/>
      </c>
      <c r="G36" s="16">
        <f>IF(AND(A36&gt;=1,A36&lt;=Assumptions!$C$28),-Assumptions!$C$32,0)</f>
        <v/>
      </c>
      <c r="H36" s="16">
        <f>IF(AND(A36&gt;=1,A36&lt;=Assumptions!$C$28),-Assumptions!$C$33/12,0)</f>
        <v/>
      </c>
      <c r="I36" s="16">
        <f>B36+C36+E36+F36+G36+H36</f>
        <v/>
      </c>
      <c r="J36" s="16">
        <f>J35+I36</f>
        <v/>
      </c>
    </row>
    <row r="37">
      <c r="A37" s="9" t="n">
        <v>31</v>
      </c>
      <c r="B37" s="16">
        <f>IF(A37=0,-Deal!$B$14,0)</f>
        <v/>
      </c>
      <c r="C37" s="16">
        <f>IF(A37=0,Deal!$B$19,0)</f>
        <v/>
      </c>
      <c r="D37" s="16">
        <f>IF(AND(A37&gt;=1,A37&lt;=Assumptions!$C$28),Deal!$B$21,0)</f>
        <v/>
      </c>
      <c r="E37" s="16">
        <f>D37*Assumptions!$C$30</f>
        <v/>
      </c>
      <c r="F37" s="16">
        <f>(D37-E37)*Assumptions!$C$31</f>
        <v/>
      </c>
      <c r="G37" s="16">
        <f>IF(AND(A37&gt;=1,A37&lt;=Assumptions!$C$28),-Assumptions!$C$32,0)</f>
        <v/>
      </c>
      <c r="H37" s="16">
        <f>IF(AND(A37&gt;=1,A37&lt;=Assumptions!$C$28),-Assumptions!$C$33/12,0)</f>
        <v/>
      </c>
      <c r="I37" s="16">
        <f>B37+C37+E37+F37+G37+H37</f>
        <v/>
      </c>
      <c r="J37" s="16">
        <f>J36+I37</f>
        <v/>
      </c>
    </row>
    <row r="38">
      <c r="A38" s="9" t="n">
        <v>32</v>
      </c>
      <c r="B38" s="16">
        <f>IF(A38=0,-Deal!$B$14,0)</f>
        <v/>
      </c>
      <c r="C38" s="16">
        <f>IF(A38=0,Deal!$B$19,0)</f>
        <v/>
      </c>
      <c r="D38" s="16">
        <f>IF(AND(A38&gt;=1,A38&lt;=Assumptions!$C$28),Deal!$B$21,0)</f>
        <v/>
      </c>
      <c r="E38" s="16">
        <f>D38*Assumptions!$C$30</f>
        <v/>
      </c>
      <c r="F38" s="16">
        <f>(D38-E38)*Assumptions!$C$31</f>
        <v/>
      </c>
      <c r="G38" s="16">
        <f>IF(AND(A38&gt;=1,A38&lt;=Assumptions!$C$28),-Assumptions!$C$32,0)</f>
        <v/>
      </c>
      <c r="H38" s="16">
        <f>IF(AND(A38&gt;=1,A38&lt;=Assumptions!$C$28),-Assumptions!$C$33/12,0)</f>
        <v/>
      </c>
      <c r="I38" s="16">
        <f>B38+C38+E38+F38+G38+H38</f>
        <v/>
      </c>
      <c r="J38" s="16">
        <f>J37+I38</f>
        <v/>
      </c>
    </row>
    <row r="39">
      <c r="A39" s="9" t="n">
        <v>33</v>
      </c>
      <c r="B39" s="16">
        <f>IF(A39=0,-Deal!$B$14,0)</f>
        <v/>
      </c>
      <c r="C39" s="16">
        <f>IF(A39=0,Deal!$B$19,0)</f>
        <v/>
      </c>
      <c r="D39" s="16">
        <f>IF(AND(A39&gt;=1,A39&lt;=Assumptions!$C$28),Deal!$B$21,0)</f>
        <v/>
      </c>
      <c r="E39" s="16">
        <f>D39*Assumptions!$C$30</f>
        <v/>
      </c>
      <c r="F39" s="16">
        <f>(D39-E39)*Assumptions!$C$31</f>
        <v/>
      </c>
      <c r="G39" s="16">
        <f>IF(AND(A39&gt;=1,A39&lt;=Assumptions!$C$28),-Assumptions!$C$32,0)</f>
        <v/>
      </c>
      <c r="H39" s="16">
        <f>IF(AND(A39&gt;=1,A39&lt;=Assumptions!$C$28),-Assumptions!$C$33/12,0)</f>
        <v/>
      </c>
      <c r="I39" s="16">
        <f>B39+C39+E39+F39+G39+H39</f>
        <v/>
      </c>
      <c r="J39" s="16">
        <f>J38+I39</f>
        <v/>
      </c>
    </row>
    <row r="40">
      <c r="A40" s="9" t="n">
        <v>34</v>
      </c>
      <c r="B40" s="16">
        <f>IF(A40=0,-Deal!$B$14,0)</f>
        <v/>
      </c>
      <c r="C40" s="16">
        <f>IF(A40=0,Deal!$B$19,0)</f>
        <v/>
      </c>
      <c r="D40" s="16">
        <f>IF(AND(A40&gt;=1,A40&lt;=Assumptions!$C$28),Deal!$B$21,0)</f>
        <v/>
      </c>
      <c r="E40" s="16">
        <f>D40*Assumptions!$C$30</f>
        <v/>
      </c>
      <c r="F40" s="16">
        <f>(D40-E40)*Assumptions!$C$31</f>
        <v/>
      </c>
      <c r="G40" s="16">
        <f>IF(AND(A40&gt;=1,A40&lt;=Assumptions!$C$28),-Assumptions!$C$32,0)</f>
        <v/>
      </c>
      <c r="H40" s="16">
        <f>IF(AND(A40&gt;=1,A40&lt;=Assumptions!$C$28),-Assumptions!$C$33/12,0)</f>
        <v/>
      </c>
      <c r="I40" s="16">
        <f>B40+C40+E40+F40+G40+H40</f>
        <v/>
      </c>
      <c r="J40" s="16">
        <f>J39+I40</f>
        <v/>
      </c>
    </row>
    <row r="41">
      <c r="A41" s="9" t="n">
        <v>35</v>
      </c>
      <c r="B41" s="16">
        <f>IF(A41=0,-Deal!$B$14,0)</f>
        <v/>
      </c>
      <c r="C41" s="16">
        <f>IF(A41=0,Deal!$B$19,0)</f>
        <v/>
      </c>
      <c r="D41" s="16">
        <f>IF(AND(A41&gt;=1,A41&lt;=Assumptions!$C$28),Deal!$B$21,0)</f>
        <v/>
      </c>
      <c r="E41" s="16">
        <f>D41*Assumptions!$C$30</f>
        <v/>
      </c>
      <c r="F41" s="16">
        <f>(D41-E41)*Assumptions!$C$31</f>
        <v/>
      </c>
      <c r="G41" s="16">
        <f>IF(AND(A41&gt;=1,A41&lt;=Assumptions!$C$28),-Assumptions!$C$32,0)</f>
        <v/>
      </c>
      <c r="H41" s="16">
        <f>IF(AND(A41&gt;=1,A41&lt;=Assumptions!$C$28),-Assumptions!$C$33/12,0)</f>
        <v/>
      </c>
      <c r="I41" s="16">
        <f>B41+C41+E41+F41+G41+H41</f>
        <v/>
      </c>
      <c r="J41" s="16">
        <f>J40+I41</f>
        <v/>
      </c>
    </row>
    <row r="42">
      <c r="A42" s="9" t="n">
        <v>36</v>
      </c>
      <c r="B42" s="16">
        <f>IF(A42=0,-Deal!$B$14,0)</f>
        <v/>
      </c>
      <c r="C42" s="16">
        <f>IF(A42=0,Deal!$B$19,0)</f>
        <v/>
      </c>
      <c r="D42" s="16">
        <f>IF(AND(A42&gt;=1,A42&lt;=Assumptions!$C$28),Deal!$B$21,0)</f>
        <v/>
      </c>
      <c r="E42" s="16">
        <f>D42*Assumptions!$C$30</f>
        <v/>
      </c>
      <c r="F42" s="16">
        <f>(D42-E42)*Assumptions!$C$31</f>
        <v/>
      </c>
      <c r="G42" s="16">
        <f>IF(AND(A42&gt;=1,A42&lt;=Assumptions!$C$28),-Assumptions!$C$32,0)</f>
        <v/>
      </c>
      <c r="H42" s="16">
        <f>IF(AND(A42&gt;=1,A42&lt;=Assumptions!$C$28),-Assumptions!$C$33/12,0)</f>
        <v/>
      </c>
      <c r="I42" s="16">
        <f>B42+C42+E42+F42+G42+H42</f>
        <v/>
      </c>
      <c r="J42" s="16">
        <f>J41+I42</f>
        <v/>
      </c>
    </row>
    <row r="43">
      <c r="A43" s="4" t="inlineStr">
        <is>
          <t>Total</t>
        </is>
      </c>
      <c r="B43" s="26">
        <f>SUM(B6:B42)</f>
        <v/>
      </c>
      <c r="C43" s="26">
        <f>SUM(C6:C42)</f>
        <v/>
      </c>
      <c r="D43" s="26">
        <f>SUM(D6:D42)</f>
        <v/>
      </c>
      <c r="E43" s="26">
        <f>SUM(E6:E42)</f>
        <v/>
      </c>
      <c r="F43" s="26">
        <f>SUM(F6:F42)</f>
        <v/>
      </c>
      <c r="G43" s="26">
        <f>SUM(G6:G42)</f>
        <v/>
      </c>
      <c r="H43" s="26">
        <f>SUM(H6:H42)</f>
        <v/>
      </c>
      <c r="I43" s="26">
        <f>SUM(I6:I42)</f>
        <v/>
      </c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inlineStr">
        <is>
          <t>Months beyond 36 are left out: ownership transfers to the factory at the end of the lease.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</cols>
  <sheetData>
    <row r="1">
      <c r="A1" s="1" t="inlineStr">
        <is>
          <t>Lease-to-own vs. 15-year power-as-a-service</t>
        </is>
      </c>
      <c r="B1" s="2" t="n"/>
      <c r="C1" s="2" t="n"/>
    </row>
    <row r="2">
      <c r="A2" s="3" t="inlineStr">
        <is>
          <t>The PaaS column is copied from the Microgrid YC Validation Pack (Oct 2026) and does not recalculate here.</t>
        </is>
      </c>
      <c r="B2" s="2" t="n"/>
      <c r="C2" s="2" t="n"/>
    </row>
    <row r="3">
      <c r="A3" s="2" t="n"/>
      <c r="B3" s="2" t="n"/>
      <c r="C3" s="2" t="n"/>
    </row>
    <row r="4">
      <c r="A4" s="6" t="inlineStr">
        <is>
          <t>Metric</t>
        </is>
      </c>
      <c r="B4" s="6" t="inlineStr">
        <is>
          <t>Lease-to-own (live)</t>
        </is>
      </c>
      <c r="C4" s="6" t="inlineStr">
        <is>
          <t>PaaS, own for 15 yrs (Validation Pack)</t>
        </is>
      </c>
    </row>
    <row r="5">
      <c r="A5" s="9" t="inlineStr">
        <is>
          <t>Capital out per deal ($)</t>
        </is>
      </c>
      <c r="B5" s="25">
        <f>Deal!$B$38</f>
        <v/>
      </c>
      <c r="C5" s="18" t="n">
        <v>272250</v>
      </c>
    </row>
    <row r="6">
      <c r="A6" s="9" t="inlineStr">
        <is>
          <t>Years capital is exposed</t>
        </is>
      </c>
      <c r="B6" s="35">
        <f>Assumptions!$C$28/12</f>
        <v/>
      </c>
      <c r="C6" s="36" t="n">
        <v>15</v>
      </c>
    </row>
    <row r="7">
      <c r="A7" s="9" t="inlineStr">
        <is>
          <t>Unlevered IRR</t>
        </is>
      </c>
      <c r="B7" s="37">
        <f>Deal!$B$36</f>
        <v/>
      </c>
      <c r="C7" s="20" t="n">
        <v>0.164</v>
      </c>
    </row>
    <row r="8">
      <c r="A8" s="9" t="inlineStr">
        <is>
          <t>Clears the 25% Syria hurdle?</t>
        </is>
      </c>
      <c r="B8" s="24">
        <f>IF(Deal!$B$36&gt;=Assumptions!$C$35,"Yes","No")</f>
        <v/>
      </c>
      <c r="C8" s="38" t="inlineStr">
        <is>
          <t>No</t>
        </is>
      </c>
    </row>
    <row r="9">
      <c r="A9" s="9" t="inlineStr">
        <is>
          <t>Bad-case outcome</t>
        </is>
      </c>
      <c r="B9" s="9" t="inlineStr">
        <is>
          <t>Switch C4 on Assumptions to 2</t>
        </is>
      </c>
      <c r="C9" s="38" t="inlineStr">
        <is>
          <t>Never pays back ($0.22 tariff, capex +20%, -15% kWh, 85% collection)</t>
        </is>
      </c>
    </row>
    <row r="10">
      <c r="A10" s="9" t="inlineStr">
        <is>
          <t>Exposure to grid arrival</t>
        </is>
      </c>
      <c r="B10" s="9" t="inlineStr">
        <is>
          <t>Ends at transfer (month 36)</t>
        </is>
      </c>
      <c r="C10" s="38" t="inlineStr">
        <is>
          <t>Full: 15-yr contract vs. ~3c/kWh utility solar</t>
        </is>
      </c>
    </row>
    <row r="11">
      <c r="A11" s="9" t="inlineStr">
        <is>
          <t>Who owns the asset after the term</t>
        </is>
      </c>
      <c r="B11" s="9" t="inlineStr">
        <is>
          <t>Factory</t>
        </is>
      </c>
      <c r="C11" s="38" t="inlineStr">
        <is>
          <t>Developer</t>
        </is>
      </c>
    </row>
    <row r="12">
      <c r="A12" s="2" t="n"/>
      <c r="B12" s="2" t="n"/>
      <c r="C12" s="2" t="n"/>
    </row>
    <row r="13">
      <c r="A13" s="12" t="inlineStr">
        <is>
          <t>Source for PaaS figures: Microgrid YC Validation Pack, 'Unit economics: one factory site' (250 kWp + 500 kWh, $0.26/kWh tariff).</t>
        </is>
      </c>
      <c r="B13" s="2" t="n"/>
      <c r="C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What a $500k pilot pool funds</t>
        </is>
      </c>
      <c r="B1" s="2" t="n"/>
      <c r="C1" s="2" t="n"/>
      <c r="D1" s="2" t="n"/>
      <c r="E1" s="2" t="n"/>
      <c r="F1" s="2" t="n"/>
    </row>
    <row r="2">
      <c r="A2" s="3" t="inlineStr">
        <is>
          <t>Assumes every dollar collected is relent the following year. Deals are whole numbers.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4" t="inlineStr">
        <is>
          <t>Year</t>
        </is>
      </c>
      <c r="B4" s="34" t="inlineStr">
        <is>
          <t>Cash available ($)</t>
        </is>
      </c>
      <c r="C4" s="34" t="inlineStr">
        <is>
          <t>New deals signed</t>
        </is>
      </c>
      <c r="D4" s="34" t="inlineStr">
        <is>
          <t>Cash out ($)</t>
        </is>
      </c>
      <c r="E4" s="34" t="inlineStr">
        <is>
          <t>Cash back from all live deals ($)</t>
        </is>
      </c>
      <c r="F4" s="34" t="inlineStr">
        <is>
          <t>Live deals</t>
        </is>
      </c>
    </row>
    <row r="5">
      <c r="A5" s="2" t="inlineStr">
        <is>
          <t>1</t>
        </is>
      </c>
      <c r="B5" s="39">
        <f>Assumptions!$C$36</f>
        <v/>
      </c>
      <c r="C5" s="40">
        <f>IFERROR(INT(B5/Deal!$B$38),0)</f>
        <v/>
      </c>
      <c r="D5" s="39">
        <f>C5*Deal!$B$38</f>
        <v/>
      </c>
      <c r="E5" s="39">
        <f>(C5)*SUM(Cashflows!$I$7:$I$42)/3</f>
        <v/>
      </c>
      <c r="F5" s="40">
        <f>C5</f>
        <v/>
      </c>
    </row>
    <row r="6">
      <c r="A6" s="2" t="inlineStr">
        <is>
          <t>2</t>
        </is>
      </c>
      <c r="B6" s="39">
        <f>B5-D5+E5</f>
        <v/>
      </c>
      <c r="C6" s="40">
        <f>IFERROR(INT(B6/Deal!$B$38),0)</f>
        <v/>
      </c>
      <c r="D6" s="39">
        <f>C6*Deal!$B$38</f>
        <v/>
      </c>
      <c r="E6" s="39">
        <f>(C5+C6)*SUM(Cashflows!$I$7:$I$42)/3</f>
        <v/>
      </c>
      <c r="F6" s="40">
        <f>C5+C6</f>
        <v/>
      </c>
    </row>
    <row r="7">
      <c r="A7" s="2" t="inlineStr">
        <is>
          <t>3</t>
        </is>
      </c>
      <c r="B7" s="39">
        <f>B6-D6+E6</f>
        <v/>
      </c>
      <c r="C7" s="40">
        <f>IFERROR(INT(B7/Deal!$B$38),0)</f>
        <v/>
      </c>
      <c r="D7" s="39">
        <f>C7*Deal!$B$38</f>
        <v/>
      </c>
      <c r="E7" s="39">
        <f>(C5+C6+C7)*SUM(Cashflows!$I$7:$I$42)/3</f>
        <v/>
      </c>
      <c r="F7" s="40">
        <f>C5+C6+C7</f>
        <v/>
      </c>
    </row>
    <row r="8">
      <c r="A8" s="2" t="inlineStr">
        <is>
          <t>4</t>
        </is>
      </c>
      <c r="B8" s="39">
        <f>B7-D7+E7</f>
        <v/>
      </c>
      <c r="C8" s="40">
        <f>IFERROR(INT(B8/Deal!$B$38),0)</f>
        <v/>
      </c>
      <c r="D8" s="39">
        <f>C8*Deal!$B$38</f>
        <v/>
      </c>
      <c r="E8" s="39">
        <f>(C6+C7+C8)*SUM(Cashflows!$I$7:$I$42)/3</f>
        <v/>
      </c>
      <c r="F8" s="40">
        <f>C6+C7+C8</f>
        <v/>
      </c>
    </row>
    <row r="9">
      <c r="A9" s="2" t="inlineStr">
        <is>
          <t>5</t>
        </is>
      </c>
      <c r="B9" s="39">
        <f>B8-D8+E8</f>
        <v/>
      </c>
      <c r="C9" s="40">
        <f>IFERROR(INT(B9/Deal!$B$38),0)</f>
        <v/>
      </c>
      <c r="D9" s="39">
        <f>C9*Deal!$B$38</f>
        <v/>
      </c>
      <c r="E9" s="39">
        <f>(C7+C8+C9)*SUM(Cashflows!$I$7:$I$42)/3</f>
        <v/>
      </c>
      <c r="F9" s="40">
        <f>C7+C8+C9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12" t="inlineStr">
        <is>
          <t>Simplification: each deal's 36 months of net collections are spread evenly over three years, starting the year it is signed.</t>
        </is>
      </c>
      <c r="B11" s="2" t="n"/>
      <c r="C11" s="2" t="n"/>
      <c r="D11" s="2" t="n"/>
      <c r="E11" s="2" t="n"/>
      <c r="F11" s="2" t="n"/>
    </row>
    <row r="12">
      <c r="A12" s="4" t="inlineStr">
        <is>
          <t>Deals signed over 5 years</t>
        </is>
      </c>
      <c r="B12" s="2" t="n"/>
      <c r="C12" s="4">
        <f>SUM(C5:C9)</f>
        <v/>
      </c>
      <c r="D12" s="2" t="n"/>
      <c r="E12" s="2" t="n"/>
      <c r="F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2026-10-23T05:20:31Z</dcterms:created>
  <dcterms:modified xsi:type="dcterms:W3CDTF">2026-10-23T05:20:31Z</dcterms:modified>
</cp:coreProperties>
</file>